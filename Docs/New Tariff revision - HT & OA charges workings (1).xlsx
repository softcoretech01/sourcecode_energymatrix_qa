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WNLOADS\ENERGYMATRIX_UAT\Docs\"/>
    </mc:Choice>
  </mc:AlternateContent>
  <xr:revisionPtr revIDLastSave="0" documentId="13_ncr:1_{2D4CB069-BDFB-4F20-9465-8504A4AE88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A charges (2)" sheetId="1" r:id="rId1"/>
  </sheets>
  <calcPr calcId="191029"/>
</workbook>
</file>

<file path=xl/calcChain.xml><?xml version="1.0" encoding="utf-8"?>
<calcChain xmlns="http://schemas.openxmlformats.org/spreadsheetml/2006/main">
  <c r="F13" i="1" l="1"/>
  <c r="F35" i="1" a="1"/>
  <c r="F35" i="1"/>
  <c r="D35" i="1" a="1"/>
  <c r="D35" i="1" s="1"/>
  <c r="J34" i="1" a="1"/>
  <c r="J34" i="1" s="1"/>
  <c r="J33" i="1" a="1"/>
  <c r="J33" i="1" s="1"/>
  <c r="D33" i="1" a="1"/>
  <c r="D33" i="1" s="1"/>
  <c r="J32" i="1" a="1"/>
  <c r="J32" i="1" s="1"/>
  <c r="J31" i="1" a="1"/>
  <c r="J31" i="1"/>
  <c r="D31" i="1" a="1"/>
  <c r="D31" i="1" s="1"/>
  <c r="J30" i="1" a="1"/>
  <c r="J30" i="1"/>
  <c r="F30" i="1" a="1"/>
  <c r="F30" i="1"/>
  <c r="M29" i="1" a="1"/>
  <c r="M29" i="1"/>
  <c r="M31" i="1" s="1" a="1"/>
  <c r="M31" i="1" s="1"/>
  <c r="J29" i="1" a="1"/>
  <c r="J29" i="1" s="1"/>
  <c r="J28" i="1" a="1"/>
  <c r="J28" i="1" s="1"/>
  <c r="J27" i="1" a="1"/>
  <c r="J27" i="1"/>
  <c r="J26" i="1" a="1"/>
  <c r="J26" i="1"/>
  <c r="D26" i="1" a="1"/>
  <c r="D26" i="1" s="1"/>
  <c r="J25" i="1" a="1"/>
  <c r="J25" i="1"/>
  <c r="J24" i="1" a="1"/>
  <c r="J24" i="1" s="1"/>
  <c r="J23" i="1" a="1"/>
  <c r="J23" i="1" s="1"/>
  <c r="C23" i="1" a="1"/>
  <c r="C23" i="1"/>
  <c r="E23" i="1" s="1" a="1"/>
  <c r="E23" i="1" s="1"/>
  <c r="J22" i="1" a="1"/>
  <c r="J22" i="1" s="1"/>
  <c r="C22" i="1" a="1"/>
  <c r="C22" i="1" s="1"/>
  <c r="E22" i="1" s="1" a="1"/>
  <c r="E22" i="1" s="1"/>
  <c r="C37" i="1" s="1" a="1"/>
  <c r="C37" i="1" s="1"/>
  <c r="J21" i="1" a="1"/>
  <c r="J21" i="1" s="1"/>
  <c r="J20" i="1" a="1"/>
  <c r="J20" i="1"/>
  <c r="J19" i="1" a="1"/>
  <c r="J19" i="1" s="1"/>
  <c r="J18" i="1" a="1"/>
  <c r="J18" i="1" s="1"/>
  <c r="J17" i="1" a="1"/>
  <c r="J17" i="1" s="1"/>
  <c r="J15" i="1" a="1"/>
  <c r="J15" i="1"/>
  <c r="D15" i="1" a="1"/>
  <c r="D15" i="1" s="1"/>
  <c r="C15" i="1" a="1"/>
  <c r="C15" i="1"/>
  <c r="P14" i="1" a="1"/>
  <c r="P14" i="1" s="1"/>
  <c r="P16" i="1" s="1" a="1"/>
  <c r="P16" i="1" s="1"/>
  <c r="M14" i="1" a="1"/>
  <c r="M14" i="1" s="1"/>
  <c r="M16" i="1" s="1" a="1"/>
  <c r="M16" i="1" s="1"/>
  <c r="J14" i="1" a="1"/>
  <c r="J14" i="1"/>
  <c r="J13" i="1" a="1"/>
  <c r="J13" i="1"/>
  <c r="D13" i="1" a="1"/>
  <c r="D13" i="1" s="1"/>
  <c r="J12" i="1" a="1"/>
  <c r="J12" i="1"/>
  <c r="D12" i="1" a="1"/>
  <c r="D12" i="1" s="1"/>
  <c r="J11" i="1" a="1"/>
  <c r="J11" i="1"/>
  <c r="F11" i="1" a="1"/>
  <c r="F11" i="1" s="1"/>
  <c r="J10" i="1" a="1"/>
  <c r="J10" i="1"/>
  <c r="F10" i="1" a="1"/>
  <c r="F10" i="1"/>
  <c r="F14" i="1" s="1" a="1"/>
  <c r="F14" i="1" s="1"/>
  <c r="F17" i="1" s="1" a="1"/>
  <c r="F17" i="1" s="1"/>
  <c r="D10" i="1" a="1"/>
  <c r="D10" i="1" s="1"/>
  <c r="J9" i="1" a="1"/>
  <c r="J9" i="1"/>
  <c r="F9" i="1" a="1"/>
  <c r="F9" i="1" s="1"/>
  <c r="J8" i="1" a="1"/>
  <c r="J8" i="1" s="1"/>
  <c r="F5" i="1" a="1"/>
  <c r="F5" i="1"/>
  <c r="D5" i="1" a="1"/>
  <c r="D5" i="1"/>
  <c r="F12" i="1" s="1" a="1"/>
  <c r="F12" i="1" s="1"/>
  <c r="F4" i="1" a="1"/>
  <c r="F4" i="1" s="1"/>
  <c r="D30" i="1" s="1" a="1"/>
  <c r="D30" i="1" s="1"/>
  <c r="D37" i="1" l="1" a="1"/>
  <c r="D37" i="1" s="1"/>
  <c r="F37" i="1" a="1"/>
  <c r="F37" i="1" s="1"/>
  <c r="F40" i="1" a="1"/>
  <c r="F40" i="1" s="1"/>
  <c r="F34" i="1" a="1"/>
  <c r="F34" i="1" s="1"/>
  <c r="F32" i="1" a="1"/>
  <c r="F32" i="1" s="1"/>
  <c r="D40" i="1" a="1"/>
  <c r="D40" i="1" s="1"/>
  <c r="D34" i="1" a="1"/>
  <c r="D34" i="1" s="1"/>
  <c r="D32" i="1" a="1"/>
  <c r="D32" i="1" s="1"/>
  <c r="F33" i="1" a="1"/>
  <c r="F33" i="1" s="1"/>
  <c r="F31" i="1" a="1"/>
  <c r="F31" i="1" s="1"/>
  <c r="F36" i="1" s="1" a="1"/>
  <c r="F36" i="1" s="1"/>
  <c r="F39" i="1" s="1" a="1"/>
  <c r="F39" i="1" s="1"/>
  <c r="F41" i="1" s="1" a="1"/>
  <c r="F41" i="1" s="1"/>
  <c r="D36" i="1" a="1"/>
  <c r="D36" i="1" s="1"/>
  <c r="D39" i="1" s="1" a="1"/>
  <c r="D39" i="1" s="1"/>
  <c r="D41" i="1" s="1" a="1"/>
  <c r="D41" i="1" s="1"/>
  <c r="F18" i="1" a="1"/>
  <c r="F18" i="1" s="1"/>
  <c r="F19" i="1" s="1" a="1"/>
  <c r="F19" i="1" s="1"/>
  <c r="F20" i="1" s="1" a="1"/>
  <c r="F20" i="1" s="1"/>
  <c r="D18" i="1" a="1"/>
  <c r="D18" i="1" s="1"/>
  <c r="D11" i="1" a="1"/>
  <c r="D11" i="1" s="1"/>
  <c r="D14" i="1" s="1" a="1"/>
  <c r="D14" i="1" s="1"/>
  <c r="D17" i="1" s="1" a="1"/>
  <c r="D17" i="1" s="1"/>
  <c r="D19" i="1" s="1" a="1"/>
  <c r="D19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<sst xmlns="http://schemas.openxmlformats.org/spreadsheetml/2006/main" count="113" uniqueCount="60">
  <si>
    <t>Injection Votage</t>
  </si>
  <si>
    <t>KV</t>
  </si>
  <si>
    <t>Existing Tariff</t>
  </si>
  <si>
    <t>Drawl Voltage</t>
  </si>
  <si>
    <t>Revised Tariff</t>
  </si>
  <si>
    <t>T &amp; D Loss %</t>
  </si>
  <si>
    <t>Existing Aveg Rate</t>
  </si>
  <si>
    <t>T &amp; loss</t>
  </si>
  <si>
    <t>Revised Aveg Rate</t>
  </si>
  <si>
    <t>Solar Adjustment Charges for Captive Users</t>
  </si>
  <si>
    <t>Transmission &amp; Distribution Loss</t>
  </si>
  <si>
    <t>HT - INDUSTRIAL BUYER - UNDER THIRD PARTY</t>
  </si>
  <si>
    <t>HT - COMMERCIAL BUYER - UNDER THIRD PARTY</t>
  </si>
  <si>
    <t>Sl. No.</t>
  </si>
  <si>
    <t>Descriptions</t>
  </si>
  <si>
    <t>Existing ( Rs.Per Unit )</t>
  </si>
  <si>
    <t>Revised ( Rs.Per Unit )</t>
  </si>
  <si>
    <t>Inj Voltage</t>
  </si>
  <si>
    <t>Drw. Voltage</t>
  </si>
  <si>
    <t xml:space="preserve"> Loss %</t>
  </si>
  <si>
    <t>Scheduling Charges</t>
  </si>
  <si>
    <t>Solar Generaton / Year / MW - Lakh Units</t>
  </si>
  <si>
    <t>15 Lakhs Units</t>
  </si>
  <si>
    <t xml:space="preserve">System Operation Charges </t>
  </si>
  <si>
    <t>Average Energy Cost Rs. Per unit - HT Rate</t>
  </si>
  <si>
    <t>TANGEDCO Rate</t>
  </si>
  <si>
    <t xml:space="preserve">Transmission Charges </t>
  </si>
  <si>
    <t>50 % of Rs.200/MW/Day</t>
  </si>
  <si>
    <t>50 % of Rs.209/MW/Day</t>
  </si>
  <si>
    <t xml:space="preserve">Wheeling Charges </t>
  </si>
  <si>
    <t>50 % of Rs.92.46/MW/Day</t>
  </si>
  <si>
    <t>50 % of Rs.96.16/MW/Day</t>
  </si>
  <si>
    <t xml:space="preserve">DSM Charges </t>
  </si>
  <si>
    <t>50 % of Rs.5580.260/MW/Day</t>
  </si>
  <si>
    <t>50 % of Rs.5803.47/MW/Day</t>
  </si>
  <si>
    <t>Cross Subsidy Third Party- Industrial</t>
  </si>
  <si>
    <t>Cross Subsidy Third Party- Commercial</t>
  </si>
  <si>
    <t>Wheeling Charges</t>
  </si>
  <si>
    <t>50 % of Rs.1.040 Paise / Unit</t>
  </si>
  <si>
    <t>Additional Surcharge</t>
  </si>
  <si>
    <t>Total charges for Captive consumption</t>
  </si>
  <si>
    <t>T &amp; D Loss in term of Paise / unit</t>
  </si>
  <si>
    <t xml:space="preserve">Power selling price </t>
  </si>
  <si>
    <t xml:space="preserve">Net cost </t>
  </si>
  <si>
    <t>Total charges per unit ( including losses)</t>
  </si>
  <si>
    <t>Self Generation Tax</t>
  </si>
  <si>
    <t>Rs.0.10 per unit</t>
  </si>
  <si>
    <t>Total Charges per unit ( including losses &amp; SG Tax)</t>
  </si>
  <si>
    <t>HT - INDUSTRIAL BUYER - UNDER GROUP CAPTIVE</t>
  </si>
  <si>
    <t>Wind Adjustment Charges for Captive Users</t>
  </si>
  <si>
    <t>self Generation Tax</t>
  </si>
  <si>
    <t>20 Lakhs Units</t>
  </si>
  <si>
    <t>Scheduling Charges y</t>
  </si>
  <si>
    <t>50 % of Rs.172/MW/Day</t>
  </si>
  <si>
    <t>50 % of Rs.75.04/MW/Day</t>
  </si>
  <si>
    <t>O &amp; M Charges ( TANGEDCO - OA )</t>
  </si>
  <si>
    <t>Rs.301704  / MW / Year</t>
  </si>
  <si>
    <t>50 % of Rs.5365.63/MW/Day</t>
  </si>
  <si>
    <t>50 % of Rs.1 / Unit</t>
  </si>
  <si>
    <t>Rs.0.03 paise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</si>
</sst>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indexed="8"/>
      <name val="Calibri"/>
    </font>
    <font>
      <b/>
      <sz val="12"/>
      <color indexed="10"/>
      <name val="Calibri"/>
    </font>
    <font>
      <sz val="11"/>
      <color indexed="10"/>
      <name val="Calibri"/>
    </font>
    <font>
      <b/>
      <sz val="11"/>
      <color indexed="10"/>
      <name val="Calibri"/>
    </font>
    <font>
      <b/>
      <sz val="14"/>
      <color indexed="8"/>
      <name val="Calibri"/>
    </font>
    <font>
      <b/>
      <sz val="12"/>
      <color indexed="12"/>
      <name val="Arial"/>
    </font>
    <font>
      <sz val="11"/>
      <color indexed="8"/>
      <name val="Arial"/>
    </font>
    <font>
      <b/>
      <sz val="11"/>
      <color indexed="8"/>
      <name val="Calibri"/>
    </font>
    <font>
      <sz val="10"/>
      <color indexed="8"/>
      <name val="Arial"/>
    </font>
    <font>
      <b/>
      <sz val="12"/>
      <color indexed="8"/>
      <name val="Calibri"/>
    </font>
    <font>
      <b/>
      <sz val="11"/>
      <color indexed="12"/>
      <name val="Calibri"/>
    </font>
    <font>
      <sz val="11"/>
      <color indexed="13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3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92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4" xfId="0" applyNumberFormat="1" applyBorder="1"/>
    <xf numFmtId="0" fontId="1" fillId="2" borderId="5" xfId="0" applyNumberFormat="1" applyFont="1" applyFill="1" applyBorder="1"/>
    <xf numFmtId="49" fontId="0" fillId="0" borderId="6" xfId="0" applyNumberFormat="1" applyBorder="1"/>
    <xf numFmtId="49" fontId="2" fillId="0" borderId="7" xfId="0" applyNumberFormat="1" applyFont="1" applyBorder="1" applyAlignment="1">
      <alignment horizontal="right"/>
    </xf>
    <xf numFmtId="2" fontId="0" fillId="2" borderId="8" xfId="0" applyNumberFormat="1" applyFill="1" applyBorder="1"/>
    <xf numFmtId="0" fontId="0" fillId="0" borderId="9" xfId="0" applyBorder="1"/>
    <xf numFmtId="49" fontId="0" fillId="0" borderId="10" xfId="0" applyNumberFormat="1" applyBorder="1"/>
    <xf numFmtId="0" fontId="1" fillId="2" borderId="11" xfId="0" applyNumberFormat="1" applyFont="1" applyFill="1" applyBorder="1"/>
    <xf numFmtId="49" fontId="0" fillId="0" borderId="12" xfId="0" applyNumberFormat="1" applyBorder="1"/>
    <xf numFmtId="49" fontId="2" fillId="0" borderId="13" xfId="0" applyNumberFormat="1" applyFont="1" applyBorder="1" applyAlignment="1">
      <alignment horizontal="right"/>
    </xf>
    <xf numFmtId="49" fontId="0" fillId="0" borderId="2" xfId="0" applyNumberFormat="1" applyBorder="1"/>
    <xf numFmtId="0" fontId="0" fillId="0" borderId="14" xfId="0" applyNumberFormat="1" applyBorder="1"/>
    <xf numFmtId="49" fontId="3" fillId="0" borderId="2" xfId="0" applyNumberFormat="1" applyFont="1" applyBorder="1" applyAlignment="1">
      <alignment horizontal="right"/>
    </xf>
    <xf numFmtId="2" fontId="3" fillId="0" borderId="7" xfId="0" applyNumberFormat="1" applyFont="1" applyBorder="1"/>
    <xf numFmtId="0" fontId="0" fillId="0" borderId="15" xfId="0" applyBorder="1"/>
    <xf numFmtId="49" fontId="0" fillId="0" borderId="1" xfId="0" applyNumberFormat="1" applyBorder="1"/>
    <xf numFmtId="0" fontId="0" fillId="0" borderId="1" xfId="0" applyNumberFormat="1" applyBorder="1"/>
    <xf numFmtId="49" fontId="3" fillId="0" borderId="1" xfId="0" applyNumberFormat="1" applyFont="1" applyBorder="1" applyAlignment="1">
      <alignment horizontal="right"/>
    </xf>
    <xf numFmtId="2" fontId="3" fillId="0" borderId="16" xfId="0" applyNumberFormat="1" applyFont="1" applyBorder="1"/>
    <xf numFmtId="0" fontId="0" fillId="0" borderId="20" xfId="0" applyBorder="1"/>
    <xf numFmtId="49" fontId="5" fillId="0" borderId="21" xfId="0" applyNumberFormat="1" applyFont="1" applyBorder="1"/>
    <xf numFmtId="0" fontId="6" fillId="3" borderId="2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vertical="center"/>
    </xf>
    <xf numFmtId="49" fontId="7" fillId="0" borderId="8" xfId="0" applyNumberFormat="1" applyFont="1" applyBorder="1"/>
    <xf numFmtId="0" fontId="0" fillId="0" borderId="8" xfId="0" applyBorder="1"/>
    <xf numFmtId="49" fontId="7" fillId="3" borderId="22" xfId="0" applyNumberFormat="1" applyFont="1" applyFill="1" applyBorder="1" applyAlignment="1">
      <alignment horizontal="center" vertical="center"/>
    </xf>
    <xf numFmtId="49" fontId="7" fillId="3" borderId="23" xfId="0" applyNumberFormat="1" applyFont="1" applyFill="1" applyBorder="1" applyAlignment="1">
      <alignment vertical="center"/>
    </xf>
    <xf numFmtId="49" fontId="8" fillId="0" borderId="8" xfId="0" applyNumberFormat="1" applyFont="1" applyBorder="1" applyAlignment="1">
      <alignment horizontal="center"/>
    </xf>
    <xf numFmtId="0" fontId="6" fillId="3" borderId="8" xfId="0" applyFont="1" applyFill="1" applyBorder="1" applyAlignment="1">
      <alignment horizontal="center" vertical="center"/>
    </xf>
    <xf numFmtId="49" fontId="6" fillId="3" borderId="8" xfId="0" applyNumberFormat="1" applyFont="1" applyFill="1" applyBorder="1" applyAlignment="1">
      <alignment horizontal="center" vertical="center"/>
    </xf>
    <xf numFmtId="49" fontId="0" fillId="3" borderId="8" xfId="0" applyNumberFormat="1" applyFill="1" applyBorder="1" applyAlignment="1">
      <alignment vertical="center"/>
    </xf>
    <xf numFmtId="2" fontId="0" fillId="0" borderId="8" xfId="0" applyNumberFormat="1" applyBorder="1"/>
    <xf numFmtId="0" fontId="0" fillId="3" borderId="22" xfId="0" applyNumberFormat="1" applyFill="1" applyBorder="1" applyAlignment="1">
      <alignment horizontal="center" vertical="center"/>
    </xf>
    <xf numFmtId="49" fontId="0" fillId="3" borderId="23" xfId="0" applyNumberFormat="1" applyFill="1" applyBorder="1" applyAlignment="1">
      <alignment vertical="center"/>
    </xf>
    <xf numFmtId="0" fontId="0" fillId="3" borderId="23" xfId="0" applyNumberFormat="1" applyFill="1" applyBorder="1" applyAlignment="1">
      <alignment horizontal="center" vertical="center"/>
    </xf>
    <xf numFmtId="0" fontId="0" fillId="3" borderId="24" xfId="0" applyNumberFormat="1" applyFill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/>
    </xf>
    <xf numFmtId="0" fontId="6" fillId="3" borderId="8" xfId="0" applyNumberFormat="1" applyFont="1" applyFill="1" applyBorder="1" applyAlignment="1">
      <alignment horizontal="center" vertical="center"/>
    </xf>
    <xf numFmtId="2" fontId="0" fillId="3" borderId="23" xfId="0" applyNumberFormat="1" applyFill="1" applyBorder="1" applyAlignment="1">
      <alignment horizontal="center" vertical="center"/>
    </xf>
    <xf numFmtId="2" fontId="0" fillId="3" borderId="24" xfId="0" applyNumberFormat="1" applyFill="1" applyBorder="1" applyAlignment="1">
      <alignment horizontal="center" vertical="center"/>
    </xf>
    <xf numFmtId="164" fontId="0" fillId="3" borderId="23" xfId="0" applyNumberFormat="1" applyFill="1" applyBorder="1" applyAlignment="1">
      <alignment horizontal="center" vertical="center"/>
    </xf>
    <xf numFmtId="164" fontId="0" fillId="3" borderId="24" xfId="0" applyNumberForma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7" fillId="3" borderId="23" xfId="0" applyFont="1" applyFill="1" applyBorder="1" applyAlignment="1">
      <alignment vertical="center"/>
    </xf>
    <xf numFmtId="164" fontId="7" fillId="3" borderId="23" xfId="0" applyNumberFormat="1" applyFont="1" applyFill="1" applyBorder="1" applyAlignment="1">
      <alignment horizontal="center" vertical="center"/>
    </xf>
    <xf numFmtId="164" fontId="7" fillId="3" borderId="24" xfId="0" applyNumberFormat="1" applyFont="1" applyFill="1" applyBorder="1" applyAlignment="1">
      <alignment horizontal="center" vertical="center"/>
    </xf>
    <xf numFmtId="2" fontId="7" fillId="0" borderId="8" xfId="0" applyNumberFormat="1" applyFont="1" applyBorder="1"/>
    <xf numFmtId="0" fontId="0" fillId="3" borderId="23" xfId="0" applyFill="1" applyBorder="1" applyAlignment="1">
      <alignment vertical="center"/>
    </xf>
    <xf numFmtId="0" fontId="8" fillId="0" borderId="8" xfId="0" applyFont="1" applyBorder="1" applyAlignment="1">
      <alignment horizontal="center"/>
    </xf>
    <xf numFmtId="49" fontId="9" fillId="3" borderId="8" xfId="0" applyNumberFormat="1" applyFont="1" applyFill="1" applyBorder="1" applyAlignment="1">
      <alignment vertical="center"/>
    </xf>
    <xf numFmtId="2" fontId="9" fillId="0" borderId="8" xfId="0" applyNumberFormat="1" applyFont="1" applyBorder="1"/>
    <xf numFmtId="0" fontId="9" fillId="0" borderId="8" xfId="0" applyFont="1" applyBorder="1"/>
    <xf numFmtId="0" fontId="0" fillId="3" borderId="25" xfId="0" applyFill="1" applyBorder="1" applyAlignment="1">
      <alignment horizontal="center" vertical="center"/>
    </xf>
    <xf numFmtId="49" fontId="7" fillId="3" borderId="26" xfId="0" applyNumberFormat="1" applyFont="1" applyFill="1" applyBorder="1" applyAlignment="1">
      <alignment vertical="center"/>
    </xf>
    <xf numFmtId="0" fontId="0" fillId="3" borderId="26" xfId="0" applyFill="1" applyBorder="1" applyAlignment="1">
      <alignment vertical="center"/>
    </xf>
    <xf numFmtId="2" fontId="10" fillId="3" borderId="26" xfId="0" applyNumberFormat="1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vertical="center"/>
    </xf>
    <xf numFmtId="2" fontId="10" fillId="3" borderId="27" xfId="0" applyNumberFormat="1" applyFont="1" applyFill="1" applyBorder="1" applyAlignment="1">
      <alignment horizontal="center" vertical="center"/>
    </xf>
    <xf numFmtId="0" fontId="7" fillId="0" borderId="3" xfId="0" applyFont="1" applyBorder="1"/>
    <xf numFmtId="0" fontId="0" fillId="0" borderId="28" xfId="0" applyBorder="1"/>
    <xf numFmtId="0" fontId="0" fillId="0" borderId="29" xfId="0" applyBorder="1"/>
    <xf numFmtId="2" fontId="0" fillId="0" borderId="29" xfId="0" applyNumberFormat="1" applyBorder="1"/>
    <xf numFmtId="0" fontId="6" fillId="3" borderId="29" xfId="0" applyNumberFormat="1" applyFont="1" applyFill="1" applyBorder="1" applyAlignment="1">
      <alignment horizontal="center" vertical="center"/>
    </xf>
    <xf numFmtId="0" fontId="8" fillId="0" borderId="29" xfId="0" applyNumberFormat="1" applyFont="1" applyBorder="1" applyAlignment="1">
      <alignment horizontal="center"/>
    </xf>
    <xf numFmtId="0" fontId="6" fillId="3" borderId="29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2" fontId="0" fillId="0" borderId="1" xfId="0" applyNumberFormat="1" applyBorder="1"/>
    <xf numFmtId="0" fontId="0" fillId="3" borderId="29" xfId="0" applyFill="1" applyBorder="1" applyAlignment="1">
      <alignment vertical="center"/>
    </xf>
    <xf numFmtId="49" fontId="0" fillId="0" borderId="28" xfId="0" applyNumberFormat="1" applyBorder="1"/>
    <xf numFmtId="0" fontId="0" fillId="0" borderId="28" xfId="0" applyNumberFormat="1" applyBorder="1"/>
    <xf numFmtId="0" fontId="11" fillId="0" borderId="28" xfId="0" applyFont="1" applyBorder="1"/>
    <xf numFmtId="0" fontId="0" fillId="0" borderId="7" xfId="0" applyBorder="1"/>
    <xf numFmtId="0" fontId="0" fillId="0" borderId="2" xfId="0" applyNumberFormat="1" applyBorder="1"/>
    <xf numFmtId="0" fontId="11" fillId="0" borderId="2" xfId="0" applyFont="1" applyBorder="1"/>
    <xf numFmtId="0" fontId="0" fillId="0" borderId="13" xfId="0" applyBorder="1"/>
    <xf numFmtId="0" fontId="0" fillId="0" borderId="16" xfId="0" applyBorder="1"/>
    <xf numFmtId="0" fontId="6" fillId="0" borderId="8" xfId="0" applyNumberFormat="1" applyFont="1" applyBorder="1" applyAlignment="1">
      <alignment horizontal="center"/>
    </xf>
    <xf numFmtId="0" fontId="0" fillId="0" borderId="30" xfId="0" applyBorder="1"/>
    <xf numFmtId="0" fontId="0" fillId="0" borderId="31" xfId="0" applyBorder="1"/>
    <xf numFmtId="2" fontId="7" fillId="0" borderId="2" xfId="0" applyNumberFormat="1" applyFont="1" applyBorder="1"/>
    <xf numFmtId="2" fontId="0" fillId="0" borderId="2" xfId="0" applyNumberFormat="1" applyBorder="1"/>
    <xf numFmtId="49" fontId="4" fillId="0" borderId="17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49" fontId="7" fillId="3" borderId="23" xfId="0" applyNumberFormat="1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02060"/>
      <rgbColor rgb="FFFFFF00"/>
      <rgbColor rgb="FFFF0000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showGridLines="0" tabSelected="1" topLeftCell="A4" workbookViewId="0">
      <selection activeCell="C8" sqref="C8"/>
    </sheetView>
  </sheetViews>
  <sheetFormatPr defaultColWidth="8.81640625" defaultRowHeight="15" customHeight="1" x14ac:dyDescent="0.35"/>
  <cols>
    <col min="1" max="1" width="6.6328125" style="1" customWidth="1"/>
    <col min="2" max="2" width="46.453125" style="1" customWidth="1"/>
    <col min="3" max="3" width="26" style="1" customWidth="1"/>
    <col min="4" max="4" width="9.453125" style="1" customWidth="1"/>
    <col min="5" max="5" width="25.453125" style="1" customWidth="1"/>
    <col min="6" max="6" width="8.81640625" style="1" customWidth="1"/>
    <col min="7" max="7" width="9.6328125" style="1" customWidth="1"/>
    <col min="8" max="11" width="8.81640625" style="1" hidden="1" customWidth="1"/>
    <col min="12" max="12" width="36.453125" style="1" customWidth="1"/>
    <col min="13" max="14" width="8.81640625" style="1" customWidth="1"/>
    <col min="15" max="15" width="35.453125" style="1" customWidth="1"/>
    <col min="16" max="16" width="14.6328125" style="1" customWidth="1"/>
    <col min="17" max="17" width="8.81640625" style="1" customWidth="1"/>
    <col min="18" max="16384" width="8.81640625" style="1"/>
  </cols>
  <sheetData>
    <row r="1" spans="1:16" ht="15" customHeight="1" x14ac:dyDescent="0.35">
      <c r="A1" s="2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5.75" customHeight="1" x14ac:dyDescent="0.35">
      <c r="A2" s="4"/>
      <c r="B2" s="5" t="s">
        <v>0</v>
      </c>
      <c r="C2" s="6">
        <v>110</v>
      </c>
      <c r="D2" s="7" t="s">
        <v>1</v>
      </c>
      <c r="E2" s="8" t="s">
        <v>2</v>
      </c>
      <c r="F2" s="9">
        <v>7.25</v>
      </c>
      <c r="G2" s="10"/>
      <c r="H2" s="3"/>
      <c r="I2" s="3"/>
      <c r="J2" s="3"/>
      <c r="K2" s="3"/>
      <c r="L2" s="3"/>
      <c r="M2" s="3"/>
      <c r="N2" s="3"/>
      <c r="O2" s="3"/>
      <c r="P2" s="3"/>
    </row>
    <row r="3" spans="1:16" ht="15.75" customHeight="1" x14ac:dyDescent="0.35">
      <c r="A3" s="10"/>
      <c r="B3" s="11" t="s">
        <v>3</v>
      </c>
      <c r="C3" s="12">
        <v>33</v>
      </c>
      <c r="D3" s="13" t="s">
        <v>1</v>
      </c>
      <c r="E3" s="14" t="s">
        <v>4</v>
      </c>
      <c r="F3" s="9">
        <v>7.5</v>
      </c>
      <c r="G3" s="10"/>
      <c r="H3" s="3"/>
      <c r="I3" s="3"/>
      <c r="J3" s="3"/>
      <c r="K3" s="3"/>
      <c r="L3" s="3"/>
      <c r="M3" s="3"/>
      <c r="N3" s="3"/>
      <c r="O3" s="3"/>
      <c r="P3" s="3"/>
    </row>
    <row r="4" spans="1:16" ht="15" customHeight="1" x14ac:dyDescent="0.35">
      <c r="A4" s="10"/>
      <c r="B4" s="15" t="s">
        <v>5</v>
      </c>
      <c r="C4" s="16">
        <v>6.53</v>
      </c>
      <c r="D4" s="3"/>
      <c r="E4" s="17" t="s">
        <v>6</v>
      </c>
      <c r="F4" s="18" cm="1">
        <f t="array" ref="F4">IF(F2=6.35,(((F2*11)+((F2+F2*20%)*6)+((F2-F2*5%)*7))/24),F2)</f>
        <v>7.25</v>
      </c>
      <c r="G4" s="10"/>
      <c r="H4" s="3"/>
      <c r="I4" s="3"/>
      <c r="J4" s="3"/>
      <c r="K4" s="3"/>
      <c r="L4" s="3"/>
      <c r="M4" s="3"/>
      <c r="N4" s="3"/>
      <c r="O4" s="3"/>
      <c r="P4" s="3"/>
    </row>
    <row r="5" spans="1:16" ht="15" customHeight="1" x14ac:dyDescent="0.35">
      <c r="A5" s="19"/>
      <c r="B5" s="2"/>
      <c r="C5" s="20" t="s">
        <v>7</v>
      </c>
      <c r="D5" s="21" cm="1">
        <f t="array" ref="D5">C4</f>
        <v>6.53</v>
      </c>
      <c r="E5" s="22" t="s">
        <v>8</v>
      </c>
      <c r="F5" s="23" cm="1">
        <f t="array" ref="F5">IF(F3=6.75,(((F3*9)+((F3+F3*25%)*8)+((F3-F3*5%)*7))/24),F3)</f>
        <v>7.5</v>
      </c>
      <c r="G5" s="10"/>
      <c r="H5" s="3"/>
      <c r="I5" s="3"/>
      <c r="J5" s="3"/>
      <c r="K5" s="3"/>
      <c r="L5" s="2"/>
      <c r="M5" s="2"/>
      <c r="N5" s="3"/>
      <c r="O5" s="2"/>
      <c r="P5" s="2"/>
    </row>
    <row r="6" spans="1:16" ht="18.75" customHeight="1" x14ac:dyDescent="0.45">
      <c r="A6" s="86" t="s">
        <v>9</v>
      </c>
      <c r="B6" s="87"/>
      <c r="C6" s="87"/>
      <c r="D6" s="87"/>
      <c r="E6" s="87"/>
      <c r="F6" s="88"/>
      <c r="G6" s="24"/>
      <c r="H6" s="25" t="s">
        <v>10</v>
      </c>
      <c r="I6" s="26"/>
      <c r="J6" s="27"/>
      <c r="K6" s="27"/>
      <c r="L6" s="28" t="s">
        <v>11</v>
      </c>
      <c r="M6" s="29"/>
      <c r="N6" s="24"/>
      <c r="O6" s="28" t="s">
        <v>12</v>
      </c>
      <c r="P6" s="29"/>
    </row>
    <row r="7" spans="1:16" ht="15" customHeight="1" x14ac:dyDescent="0.35">
      <c r="A7" s="30" t="s">
        <v>13</v>
      </c>
      <c r="B7" s="31" t="s">
        <v>14</v>
      </c>
      <c r="C7" s="89" t="s">
        <v>15</v>
      </c>
      <c r="D7" s="90"/>
      <c r="E7" s="89" t="s">
        <v>16</v>
      </c>
      <c r="F7" s="91"/>
      <c r="G7" s="24"/>
      <c r="H7" s="32" t="s">
        <v>17</v>
      </c>
      <c r="I7" s="32" t="s">
        <v>18</v>
      </c>
      <c r="J7" s="33"/>
      <c r="K7" s="34" t="s">
        <v>19</v>
      </c>
      <c r="L7" s="35" t="s">
        <v>20</v>
      </c>
      <c r="M7" s="36">
        <v>2.4E-2</v>
      </c>
      <c r="N7" s="24"/>
      <c r="O7" s="35" t="s">
        <v>20</v>
      </c>
      <c r="P7" s="36">
        <v>2.4E-2</v>
      </c>
    </row>
    <row r="8" spans="1:16" ht="15" customHeight="1" x14ac:dyDescent="0.35">
      <c r="A8" s="37">
        <v>1</v>
      </c>
      <c r="B8" s="38" t="s">
        <v>21</v>
      </c>
      <c r="C8" s="38" t="s">
        <v>22</v>
      </c>
      <c r="D8" s="39">
        <v>1500000</v>
      </c>
      <c r="E8" s="38" t="s">
        <v>22</v>
      </c>
      <c r="F8" s="40">
        <v>1500000</v>
      </c>
      <c r="G8" s="24"/>
      <c r="H8" s="41">
        <v>11</v>
      </c>
      <c r="I8" s="41">
        <v>11</v>
      </c>
      <c r="J8" s="33" t="str" cm="1">
        <f t="array" ref="J8">H8&amp;I8</f>
        <v>1111</v>
      </c>
      <c r="K8" s="42">
        <v>7.81</v>
      </c>
      <c r="L8" s="35" t="s">
        <v>23</v>
      </c>
      <c r="M8" s="36">
        <v>1.2E-2</v>
      </c>
      <c r="N8" s="24"/>
      <c r="O8" s="35" t="s">
        <v>23</v>
      </c>
      <c r="P8" s="36">
        <v>1.2E-2</v>
      </c>
    </row>
    <row r="9" spans="1:16" ht="15" customHeight="1" x14ac:dyDescent="0.35">
      <c r="A9" s="37">
        <v>2</v>
      </c>
      <c r="B9" s="38" t="s">
        <v>24</v>
      </c>
      <c r="C9" s="38" t="s">
        <v>25</v>
      </c>
      <c r="D9" s="43">
        <v>7.25</v>
      </c>
      <c r="E9" s="38" t="s">
        <v>25</v>
      </c>
      <c r="F9" s="44" cm="1">
        <f t="array" ref="F9">F5</f>
        <v>7.5</v>
      </c>
      <c r="G9" s="24"/>
      <c r="H9" s="41">
        <v>11</v>
      </c>
      <c r="I9" s="41">
        <v>22</v>
      </c>
      <c r="J9" s="33" t="str" cm="1">
        <f t="array" ref="J9">H9&amp;I9</f>
        <v>1122</v>
      </c>
      <c r="K9" s="42">
        <v>7.76</v>
      </c>
      <c r="L9" s="35" t="s">
        <v>26</v>
      </c>
      <c r="M9" s="36">
        <v>0.66700000000000004</v>
      </c>
      <c r="N9" s="24"/>
      <c r="O9" s="35" t="s">
        <v>26</v>
      </c>
      <c r="P9" s="36">
        <v>0.66700000000000004</v>
      </c>
    </row>
    <row r="10" spans="1:16" ht="15" customHeight="1" x14ac:dyDescent="0.35">
      <c r="A10" s="37">
        <v>3</v>
      </c>
      <c r="B10" s="38" t="s">
        <v>20</v>
      </c>
      <c r="C10" s="38" t="s">
        <v>27</v>
      </c>
      <c r="D10" s="45" cm="1">
        <f t="array" ref="D10">((200/2)*365)/((D8-(D8*0%)))</f>
        <v>2.4333333333333332E-2</v>
      </c>
      <c r="E10" s="38" t="s">
        <v>28</v>
      </c>
      <c r="F10" s="46" cm="1">
        <f t="array" ref="F10">((209/2)*365)/((F8-(F8*0%)))</f>
        <v>2.5428333333333334E-2</v>
      </c>
      <c r="G10" s="24"/>
      <c r="H10" s="41">
        <v>11</v>
      </c>
      <c r="I10" s="41">
        <v>33</v>
      </c>
      <c r="J10" s="33" t="str" cm="1">
        <f t="array" ref="J10">H10&amp;I10</f>
        <v>1133</v>
      </c>
      <c r="K10" s="42">
        <v>6.58</v>
      </c>
      <c r="L10" s="35" t="s">
        <v>29</v>
      </c>
      <c r="M10" s="36">
        <v>0.52</v>
      </c>
      <c r="N10" s="24"/>
      <c r="O10" s="35" t="s">
        <v>29</v>
      </c>
      <c r="P10" s="36">
        <v>0.52</v>
      </c>
    </row>
    <row r="11" spans="1:16" ht="15" customHeight="1" x14ac:dyDescent="0.35">
      <c r="A11" s="37">
        <v>4</v>
      </c>
      <c r="B11" s="38" t="s">
        <v>23</v>
      </c>
      <c r="C11" s="38" t="s">
        <v>30</v>
      </c>
      <c r="D11" s="45" cm="1">
        <f t="array" ref="D11">((92.46/2)*365)/((D8-(D8*D5%)))</f>
        <v>1.2035198459398735E-2</v>
      </c>
      <c r="E11" s="38" t="s">
        <v>31</v>
      </c>
      <c r="F11" s="46" cm="1">
        <f t="array" ref="F11">((96.16/2)*365)/((F8-(F8*D5%)))</f>
        <v>1.2516814664241647E-2</v>
      </c>
      <c r="G11" s="24"/>
      <c r="H11" s="41">
        <v>11</v>
      </c>
      <c r="I11" s="41">
        <v>110</v>
      </c>
      <c r="J11" s="33" t="str" cm="1">
        <f t="array" ref="J11">H11&amp;I11</f>
        <v>11110</v>
      </c>
      <c r="K11" s="42">
        <v>5.86</v>
      </c>
      <c r="L11" s="35" t="s">
        <v>32</v>
      </c>
      <c r="M11" s="36">
        <v>0.03</v>
      </c>
      <c r="N11" s="24"/>
      <c r="O11" s="35" t="s">
        <v>32</v>
      </c>
      <c r="P11" s="36">
        <v>0.03</v>
      </c>
    </row>
    <row r="12" spans="1:16" ht="15" customHeight="1" x14ac:dyDescent="0.35">
      <c r="A12" s="37">
        <v>5</v>
      </c>
      <c r="B12" s="38" t="s">
        <v>26</v>
      </c>
      <c r="C12" s="38" t="s">
        <v>33</v>
      </c>
      <c r="D12" s="45" cm="1">
        <f t="array" ref="D12">((5580.26/2)*365)/((D8-(D8*D5%)))</f>
        <v>0.72636314682072689</v>
      </c>
      <c r="E12" s="38" t="s">
        <v>34</v>
      </c>
      <c r="F12" s="46" cm="1">
        <f t="array" ref="F12">((5803.47/2)*365)/((F8-(F8*D5%)))</f>
        <v>0.75541762062693918</v>
      </c>
      <c r="G12" s="24"/>
      <c r="H12" s="41">
        <v>11</v>
      </c>
      <c r="I12" s="41">
        <v>230</v>
      </c>
      <c r="J12" s="33" t="str" cm="1">
        <f t="array" ref="J12">H12&amp;I12</f>
        <v>11230</v>
      </c>
      <c r="K12" s="42">
        <v>4.29</v>
      </c>
      <c r="L12" s="35" t="s">
        <v>35</v>
      </c>
      <c r="M12" s="36">
        <v>1.34</v>
      </c>
      <c r="N12" s="24"/>
      <c r="O12" s="35" t="s">
        <v>36</v>
      </c>
      <c r="P12" s="36">
        <v>1.74</v>
      </c>
    </row>
    <row r="13" spans="1:16" ht="15" customHeight="1" x14ac:dyDescent="0.35">
      <c r="A13" s="37">
        <v>6</v>
      </c>
      <c r="B13" s="38" t="s">
        <v>37</v>
      </c>
      <c r="C13" s="38" t="s">
        <v>38</v>
      </c>
      <c r="D13" s="45" cm="1">
        <f t="array" ref="D13">1.04/2/100</f>
        <v>5.1999999999999998E-3</v>
      </c>
      <c r="E13" s="38" t="s">
        <v>38</v>
      </c>
      <c r="F13" s="46">
        <f>1.04/2/100</f>
        <v>5.1999999999999998E-3</v>
      </c>
      <c r="G13" s="24"/>
      <c r="H13" s="41">
        <v>22</v>
      </c>
      <c r="I13" s="41">
        <v>11</v>
      </c>
      <c r="J13" s="33" t="str" cm="1">
        <f t="array" ref="J13">H13&amp;I13</f>
        <v>2211</v>
      </c>
      <c r="K13" s="42">
        <v>7.76</v>
      </c>
      <c r="L13" s="35" t="s">
        <v>39</v>
      </c>
      <c r="M13" s="36">
        <v>0.54</v>
      </c>
      <c r="N13" s="24"/>
      <c r="O13" s="35" t="s">
        <v>39</v>
      </c>
      <c r="P13" s="36">
        <v>0.54</v>
      </c>
    </row>
    <row r="14" spans="1:16" ht="15" customHeight="1" x14ac:dyDescent="0.35">
      <c r="A14" s="47"/>
      <c r="B14" s="31" t="s">
        <v>40</v>
      </c>
      <c r="C14" s="48"/>
      <c r="D14" s="49" cm="1">
        <f t="array" ref="D14">SUM(D10:D13)</f>
        <v>0.7679316786134589</v>
      </c>
      <c r="E14" s="48"/>
      <c r="F14" s="50" cm="1">
        <f t="array" ref="F14">SUM(F10:F13)</f>
        <v>0.79856276862451414</v>
      </c>
      <c r="G14" s="24"/>
      <c r="H14" s="41">
        <v>22</v>
      </c>
      <c r="I14" s="41">
        <v>22</v>
      </c>
      <c r="J14" s="33" t="str" cm="1">
        <f t="array" ref="J14">H14&amp;I14</f>
        <v>2222</v>
      </c>
      <c r="K14" s="42">
        <v>7.71</v>
      </c>
      <c r="L14" s="29"/>
      <c r="M14" s="51" cm="1">
        <f t="array" ref="M14">SUM(M7:M13)</f>
        <v>3.133</v>
      </c>
      <c r="N14" s="24"/>
      <c r="O14" s="29"/>
      <c r="P14" s="51" cm="1">
        <f t="array" ref="P14">SUM(P7:P13)</f>
        <v>3.5330000000000004</v>
      </c>
    </row>
    <row r="15" spans="1:16" ht="15" customHeight="1" x14ac:dyDescent="0.35">
      <c r="A15" s="37">
        <v>7</v>
      </c>
      <c r="B15" s="38" t="s">
        <v>41</v>
      </c>
      <c r="C15" s="52" t="str" cm="1">
        <f t="array" ref="C15">E2&amp;E3</f>
        <v>Existing TariffRevised Tariff</v>
      </c>
      <c r="D15" s="45" cm="1">
        <f t="array" ref="D15">((D8*D5%)*D9)/((D8-(D8*D5%)))</f>
        <v>0.50649941157590672</v>
      </c>
      <c r="E15" s="52"/>
      <c r="F15" s="46">
        <v>0.50600000000000001</v>
      </c>
      <c r="G15" s="24"/>
      <c r="H15" s="41">
        <v>22</v>
      </c>
      <c r="I15" s="41">
        <v>33</v>
      </c>
      <c r="J15" s="33" t="str" cm="1">
        <f t="array" ref="J15">H15&amp;I15</f>
        <v>2233</v>
      </c>
      <c r="K15" s="42">
        <v>6.53</v>
      </c>
      <c r="L15" s="35" t="s">
        <v>42</v>
      </c>
      <c r="M15" s="36">
        <v>7</v>
      </c>
      <c r="N15" s="24"/>
      <c r="O15" s="35" t="s">
        <v>42</v>
      </c>
      <c r="P15" s="36">
        <v>8</v>
      </c>
    </row>
    <row r="16" spans="1:16" ht="15.75" customHeight="1" x14ac:dyDescent="0.35">
      <c r="A16" s="37">
        <v>8</v>
      </c>
      <c r="B16" s="38" t="s">
        <v>32</v>
      </c>
      <c r="C16" s="52"/>
      <c r="D16" s="45"/>
      <c r="E16" s="52"/>
      <c r="F16" s="46">
        <v>0.03</v>
      </c>
      <c r="G16" s="24"/>
      <c r="H16" s="53"/>
      <c r="I16" s="53"/>
      <c r="J16" s="33"/>
      <c r="K16" s="33"/>
      <c r="L16" s="54" t="s">
        <v>43</v>
      </c>
      <c r="M16" s="55" cm="1">
        <f t="array" ref="M16">M15-M14</f>
        <v>3.867</v>
      </c>
      <c r="N16" s="24"/>
      <c r="O16" s="54" t="s">
        <v>43</v>
      </c>
      <c r="P16" s="55" cm="1">
        <f t="array" ref="P16">P15-P14</f>
        <v>4.4669999999999996</v>
      </c>
    </row>
    <row r="17" spans="1:16" ht="15.75" customHeight="1" x14ac:dyDescent="0.35">
      <c r="A17" s="47"/>
      <c r="B17" s="31" t="s">
        <v>44</v>
      </c>
      <c r="C17" s="48"/>
      <c r="D17" s="49" cm="1">
        <f t="array" ref="D17">D14+D15</f>
        <v>1.2744310901893656</v>
      </c>
      <c r="E17" s="48"/>
      <c r="F17" s="50" cm="1">
        <f t="array" ref="F17">F14+F15+F16</f>
        <v>1.3345627686245141</v>
      </c>
      <c r="G17" s="24"/>
      <c r="H17" s="42">
        <v>22</v>
      </c>
      <c r="I17" s="41">
        <v>110</v>
      </c>
      <c r="J17" s="33" t="str" cm="1">
        <f t="array" ref="J17">H17&amp;I17</f>
        <v>22110</v>
      </c>
      <c r="K17" s="42">
        <v>5.81</v>
      </c>
      <c r="L17" s="56"/>
      <c r="M17" s="56"/>
      <c r="N17" s="24"/>
      <c r="O17" s="56"/>
      <c r="P17" s="56"/>
    </row>
    <row r="18" spans="1:16" ht="15" customHeight="1" x14ac:dyDescent="0.35">
      <c r="A18" s="37">
        <v>8</v>
      </c>
      <c r="B18" s="38" t="s">
        <v>45</v>
      </c>
      <c r="C18" s="38" t="s">
        <v>46</v>
      </c>
      <c r="D18" s="45" cm="1">
        <f t="array" ref="D18">((D8-(D8*D5%))*0.1)/((D8-(D8*D5%)))</f>
        <v>0.1</v>
      </c>
      <c r="E18" s="52"/>
      <c r="F18" s="46" cm="1">
        <f t="array" ref="F18">((F8-(F8*D5%))*0.1)/((F8-(F8*D5%)))</f>
        <v>0.1</v>
      </c>
      <c r="G18" s="24"/>
      <c r="H18" s="42">
        <v>22</v>
      </c>
      <c r="I18" s="41">
        <v>230</v>
      </c>
      <c r="J18" s="33" t="str" cm="1">
        <f t="array" ref="J18">H18&amp;I18</f>
        <v>22230</v>
      </c>
      <c r="K18" s="42">
        <v>4.24</v>
      </c>
      <c r="L18" s="29"/>
      <c r="M18" s="29"/>
      <c r="N18" s="24"/>
      <c r="O18" s="29"/>
      <c r="P18" s="29"/>
    </row>
    <row r="19" spans="1:16" ht="15" customHeight="1" x14ac:dyDescent="0.35">
      <c r="A19" s="57"/>
      <c r="B19" s="58" t="s">
        <v>47</v>
      </c>
      <c r="C19" s="59"/>
      <c r="D19" s="60" cm="1">
        <f t="array" ref="D19">D17+D18</f>
        <v>1.3744310901893657</v>
      </c>
      <c r="E19" s="61"/>
      <c r="F19" s="62" cm="1">
        <f t="array" ref="F19">F17+F18</f>
        <v>1.4345627686245142</v>
      </c>
      <c r="G19" s="24"/>
      <c r="H19" s="42">
        <v>33</v>
      </c>
      <c r="I19" s="41">
        <v>11</v>
      </c>
      <c r="J19" s="33" t="str" cm="1">
        <f t="array" ref="J19">H19&amp;I19</f>
        <v>3311</v>
      </c>
      <c r="K19" s="42">
        <v>6.58</v>
      </c>
      <c r="L19" s="63"/>
      <c r="M19" s="64"/>
      <c r="N19" s="3"/>
      <c r="O19" s="64"/>
      <c r="P19" s="64"/>
    </row>
    <row r="20" spans="1:16" ht="15" customHeight="1" x14ac:dyDescent="0.35">
      <c r="A20" s="65"/>
      <c r="B20" s="65"/>
      <c r="C20" s="65"/>
      <c r="D20" s="65"/>
      <c r="E20" s="66"/>
      <c r="F20" s="66" cm="1">
        <f t="array" ref="F20">F19-D19</f>
        <v>6.0131678435148439E-2</v>
      </c>
      <c r="G20" s="3"/>
      <c r="H20" s="67">
        <v>33</v>
      </c>
      <c r="I20" s="68">
        <v>22</v>
      </c>
      <c r="J20" s="69" t="str" cm="1">
        <f t="array" ref="J20">H20&amp;I20</f>
        <v>3322</v>
      </c>
      <c r="K20" s="67">
        <v>6.53</v>
      </c>
      <c r="L20" s="70"/>
      <c r="M20" s="71"/>
      <c r="N20" s="3"/>
      <c r="O20" s="3"/>
      <c r="P20" s="3"/>
    </row>
    <row r="21" spans="1:16" ht="15" hidden="1" customHeight="1" x14ac:dyDescent="0.35">
      <c r="A21" s="65"/>
      <c r="B21" s="65"/>
      <c r="C21" s="65"/>
      <c r="D21" s="65"/>
      <c r="E21" s="65"/>
      <c r="F21" s="65"/>
      <c r="G21" s="3"/>
      <c r="H21" s="67">
        <v>33</v>
      </c>
      <c r="I21" s="68">
        <v>33</v>
      </c>
      <c r="J21" s="69" t="str" cm="1">
        <f t="array" ref="J21">H21&amp;I21</f>
        <v>3333</v>
      </c>
      <c r="K21" s="67">
        <v>5.35</v>
      </c>
      <c r="L21" s="72"/>
      <c r="M21" s="66"/>
      <c r="N21" s="3"/>
      <c r="O21" s="3"/>
      <c r="P21" s="3"/>
    </row>
    <row r="22" spans="1:16" ht="15" customHeight="1" x14ac:dyDescent="0.35">
      <c r="A22" s="4"/>
      <c r="B22" s="73" t="s">
        <v>0</v>
      </c>
      <c r="C22" s="74" cm="1">
        <f t="array" ref="C22">C2</f>
        <v>110</v>
      </c>
      <c r="D22" s="73" t="s">
        <v>1</v>
      </c>
      <c r="E22" s="75" t="str" cm="1">
        <f t="array" ref="E22">C22&amp;D22</f>
        <v>110KV</v>
      </c>
      <c r="F22" s="76"/>
      <c r="G22" s="24"/>
      <c r="H22" s="42">
        <v>33</v>
      </c>
      <c r="I22" s="41">
        <v>110</v>
      </c>
      <c r="J22" s="33" t="str" cm="1">
        <f t="array" ref="J22">H22&amp;I22</f>
        <v>33110</v>
      </c>
      <c r="K22" s="42">
        <v>4.63</v>
      </c>
      <c r="L22" s="28" t="s">
        <v>48</v>
      </c>
      <c r="M22" s="29"/>
      <c r="N22" s="10"/>
      <c r="O22" s="3"/>
      <c r="P22" s="3"/>
    </row>
    <row r="23" spans="1:16" ht="15" customHeight="1" x14ac:dyDescent="0.35">
      <c r="A23" s="10"/>
      <c r="B23" s="15" t="s">
        <v>3</v>
      </c>
      <c r="C23" s="77" cm="1">
        <f t="array" ref="C23">C3</f>
        <v>33</v>
      </c>
      <c r="D23" s="15" t="s">
        <v>1</v>
      </c>
      <c r="E23" s="78" t="str" cm="1">
        <f t="array" ref="E23">C23&amp;D23</f>
        <v>33KV</v>
      </c>
      <c r="F23" s="79"/>
      <c r="G23" s="24"/>
      <c r="H23" s="42">
        <v>33</v>
      </c>
      <c r="I23" s="41">
        <v>230</v>
      </c>
      <c r="J23" s="33" t="str" cm="1">
        <f t="array" ref="J23">H23&amp;I23</f>
        <v>33230</v>
      </c>
      <c r="K23" s="42">
        <v>3.06</v>
      </c>
      <c r="L23" s="35" t="s">
        <v>20</v>
      </c>
      <c r="M23" s="36">
        <v>2.4E-2</v>
      </c>
      <c r="N23" s="10"/>
      <c r="O23" s="3"/>
      <c r="P23" s="3"/>
    </row>
    <row r="24" spans="1:16" ht="15" customHeight="1" x14ac:dyDescent="0.35">
      <c r="A24" s="10"/>
      <c r="B24" s="15" t="s">
        <v>5</v>
      </c>
      <c r="C24" s="77">
        <v>7.81</v>
      </c>
      <c r="D24" s="3"/>
      <c r="E24" s="3"/>
      <c r="F24" s="79"/>
      <c r="G24" s="24"/>
      <c r="H24" s="42">
        <v>110</v>
      </c>
      <c r="I24" s="41">
        <v>11</v>
      </c>
      <c r="J24" s="33" t="str" cm="1">
        <f t="array" ref="J24">H24&amp;I24</f>
        <v>11011</v>
      </c>
      <c r="K24" s="42">
        <v>5.86</v>
      </c>
      <c r="L24" s="35" t="s">
        <v>23</v>
      </c>
      <c r="M24" s="36">
        <v>1.2E-2</v>
      </c>
      <c r="N24" s="10"/>
      <c r="O24" s="3"/>
      <c r="P24" s="3"/>
    </row>
    <row r="25" spans="1:16" ht="15" hidden="1" customHeight="1" x14ac:dyDescent="0.35">
      <c r="A25" s="10"/>
      <c r="B25" s="3"/>
      <c r="C25" s="3"/>
      <c r="D25" s="3"/>
      <c r="E25" s="3"/>
      <c r="F25" s="79"/>
      <c r="G25" s="24"/>
      <c r="H25" s="42">
        <v>110</v>
      </c>
      <c r="I25" s="41">
        <v>22</v>
      </c>
      <c r="J25" s="33" t="str" cm="1">
        <f t="array" ref="J25">H25&amp;I25</f>
        <v>11022</v>
      </c>
      <c r="K25" s="42">
        <v>5.81</v>
      </c>
      <c r="L25" s="35" t="s">
        <v>26</v>
      </c>
      <c r="M25" s="36">
        <v>0.66700000000000004</v>
      </c>
      <c r="N25" s="10"/>
      <c r="O25" s="3"/>
      <c r="P25" s="3"/>
    </row>
    <row r="26" spans="1:16" ht="15" customHeight="1" x14ac:dyDescent="0.35">
      <c r="A26" s="19"/>
      <c r="B26" s="2"/>
      <c r="C26" s="20" t="s">
        <v>7</v>
      </c>
      <c r="D26" s="21" cm="1">
        <f t="array" ref="D26">C24</f>
        <v>7.81</v>
      </c>
      <c r="E26" s="2"/>
      <c r="F26" s="80"/>
      <c r="G26" s="24"/>
      <c r="H26" s="42">
        <v>110</v>
      </c>
      <c r="I26" s="41">
        <v>33</v>
      </c>
      <c r="J26" s="33" t="str" cm="1">
        <f t="array" ref="J26">H26&amp;I26</f>
        <v>11033</v>
      </c>
      <c r="K26" s="42">
        <v>4.63</v>
      </c>
      <c r="L26" s="35" t="s">
        <v>29</v>
      </c>
      <c r="M26" s="36">
        <v>0.52</v>
      </c>
      <c r="N26" s="10"/>
      <c r="O26" s="3"/>
      <c r="P26" s="3"/>
    </row>
    <row r="27" spans="1:16" ht="18.75" customHeight="1" x14ac:dyDescent="0.45">
      <c r="A27" s="86" t="s">
        <v>49</v>
      </c>
      <c r="B27" s="87"/>
      <c r="C27" s="87"/>
      <c r="D27" s="87"/>
      <c r="E27" s="87"/>
      <c r="F27" s="88"/>
      <c r="G27" s="24"/>
      <c r="H27" s="42">
        <v>110</v>
      </c>
      <c r="I27" s="41">
        <v>110</v>
      </c>
      <c r="J27" s="33" t="str" cm="1">
        <f t="array" ref="J27">H27&amp;I27</f>
        <v>110110</v>
      </c>
      <c r="K27" s="42">
        <v>3.91</v>
      </c>
      <c r="L27" s="35" t="s">
        <v>32</v>
      </c>
      <c r="M27" s="36">
        <v>0.03</v>
      </c>
      <c r="N27" s="10"/>
      <c r="O27" s="3"/>
      <c r="P27" s="3"/>
    </row>
    <row r="28" spans="1:16" ht="15" customHeight="1" x14ac:dyDescent="0.35">
      <c r="A28" s="30" t="s">
        <v>13</v>
      </c>
      <c r="B28" s="31" t="s">
        <v>14</v>
      </c>
      <c r="C28" s="89" t="s">
        <v>15</v>
      </c>
      <c r="D28" s="90"/>
      <c r="E28" s="89" t="s">
        <v>16</v>
      </c>
      <c r="F28" s="91"/>
      <c r="G28" s="24"/>
      <c r="H28" s="42">
        <v>110</v>
      </c>
      <c r="I28" s="41">
        <v>230</v>
      </c>
      <c r="J28" s="33" t="str" cm="1">
        <f t="array" ref="J28">H28&amp;I28</f>
        <v>110230</v>
      </c>
      <c r="K28" s="81">
        <v>2.34</v>
      </c>
      <c r="L28" s="35" t="s">
        <v>50</v>
      </c>
      <c r="M28" s="36">
        <v>0.1</v>
      </c>
      <c r="N28" s="10"/>
      <c r="O28" s="3"/>
      <c r="P28" s="3"/>
    </row>
    <row r="29" spans="1:16" ht="15" customHeight="1" x14ac:dyDescent="0.35">
      <c r="A29" s="37">
        <v>1</v>
      </c>
      <c r="B29" s="38" t="s">
        <v>21</v>
      </c>
      <c r="C29" s="38" t="s">
        <v>51</v>
      </c>
      <c r="D29" s="39">
        <v>2000000</v>
      </c>
      <c r="E29" s="38" t="s">
        <v>51</v>
      </c>
      <c r="F29" s="40">
        <v>2000000</v>
      </c>
      <c r="G29" s="24"/>
      <c r="H29" s="42">
        <v>230</v>
      </c>
      <c r="I29" s="41">
        <v>11</v>
      </c>
      <c r="J29" s="33" t="str" cm="1">
        <f t="array" ref="J29">H29&amp;I29</f>
        <v>23011</v>
      </c>
      <c r="K29" s="81">
        <v>4.29</v>
      </c>
      <c r="L29" s="29"/>
      <c r="M29" s="51" cm="1">
        <f t="array" ref="M29">SUM(M23:M28)</f>
        <v>1.3530000000000002</v>
      </c>
      <c r="N29" s="10"/>
      <c r="O29" s="3"/>
      <c r="P29" s="3"/>
    </row>
    <row r="30" spans="1:16" ht="15" customHeight="1" x14ac:dyDescent="0.35">
      <c r="A30" s="37">
        <v>2</v>
      </c>
      <c r="B30" s="38" t="s">
        <v>24</v>
      </c>
      <c r="C30" s="38" t="s">
        <v>25</v>
      </c>
      <c r="D30" s="43" cm="1">
        <f t="array" ref="D30">F4</f>
        <v>7.25</v>
      </c>
      <c r="E30" s="38" t="s">
        <v>25</v>
      </c>
      <c r="F30" s="44" cm="1">
        <f t="array" ref="F30">F5</f>
        <v>7.5</v>
      </c>
      <c r="G30" s="24"/>
      <c r="H30" s="42">
        <v>230</v>
      </c>
      <c r="I30" s="41">
        <v>22</v>
      </c>
      <c r="J30" s="33" t="str" cm="1">
        <f t="array" ref="J30">H30&amp;I30</f>
        <v>23022</v>
      </c>
      <c r="K30" s="81">
        <v>4.24</v>
      </c>
      <c r="L30" s="35" t="s">
        <v>42</v>
      </c>
      <c r="M30" s="36">
        <v>6.7</v>
      </c>
      <c r="N30" s="10"/>
      <c r="O30" s="3"/>
      <c r="P30" s="3"/>
    </row>
    <row r="31" spans="1:16" ht="15.75" customHeight="1" x14ac:dyDescent="0.35">
      <c r="A31" s="37">
        <v>3</v>
      </c>
      <c r="B31" s="38" t="s">
        <v>52</v>
      </c>
      <c r="C31" s="38" t="s">
        <v>53</v>
      </c>
      <c r="D31" s="45" cm="1">
        <f t="array" ref="D31">((172/2)*365)/((D29-(D29*0%)))</f>
        <v>1.5695000000000001E-2</v>
      </c>
      <c r="E31" s="38" t="s">
        <v>27</v>
      </c>
      <c r="F31" s="46" cm="1">
        <f t="array" ref="F31">((200/2)*365)/((F29-(F29*D26%)))</f>
        <v>1.9796073326825037E-2</v>
      </c>
      <c r="G31" s="24"/>
      <c r="H31" s="42">
        <v>230</v>
      </c>
      <c r="I31" s="41">
        <v>33</v>
      </c>
      <c r="J31" s="33" t="str" cm="1">
        <f t="array" ref="J31">H31&amp;I31</f>
        <v>23033</v>
      </c>
      <c r="K31" s="81">
        <v>3.06</v>
      </c>
      <c r="L31" s="54" t="s">
        <v>43</v>
      </c>
      <c r="M31" s="55" cm="1">
        <f t="array" ref="M31">M30-M29</f>
        <v>5.3469999999999995</v>
      </c>
      <c r="N31" s="10"/>
      <c r="O31" s="3"/>
      <c r="P31" s="3"/>
    </row>
    <row r="32" spans="1:16" ht="15" customHeight="1" x14ac:dyDescent="0.35">
      <c r="A32" s="37">
        <v>4</v>
      </c>
      <c r="B32" s="38" t="s">
        <v>23</v>
      </c>
      <c r="C32" s="38" t="s">
        <v>54</v>
      </c>
      <c r="D32" s="45" cm="1">
        <f t="array" ref="D32">((75.04/2)*365)/((D29-(D29*D26%)))</f>
        <v>7.4274867122247536E-3</v>
      </c>
      <c r="E32" s="38" t="s">
        <v>30</v>
      </c>
      <c r="F32" s="46" cm="1">
        <f t="array" ref="F32">((92.46/2)*365)/((F29-(F29*D26%)))</f>
        <v>9.1517246989912121E-3</v>
      </c>
      <c r="G32" s="24"/>
      <c r="H32" s="42">
        <v>230</v>
      </c>
      <c r="I32" s="41">
        <v>110</v>
      </c>
      <c r="J32" s="33" t="str" cm="1">
        <f t="array" ref="J32">H32&amp;I32</f>
        <v>230110</v>
      </c>
      <c r="K32" s="81">
        <v>2.34</v>
      </c>
      <c r="L32" s="29"/>
      <c r="M32" s="29"/>
      <c r="N32" s="10"/>
      <c r="O32" s="3"/>
      <c r="P32" s="3"/>
    </row>
    <row r="33" spans="1:16" ht="15.75" customHeight="1" x14ac:dyDescent="0.35">
      <c r="A33" s="37">
        <v>5</v>
      </c>
      <c r="B33" s="38" t="s">
        <v>55</v>
      </c>
      <c r="C33" s="38" t="s">
        <v>56</v>
      </c>
      <c r="D33" s="45" cm="1">
        <f t="array" ref="D33">(301704)/((D29-(D29*0%)))</f>
        <v>0.15085200000000001</v>
      </c>
      <c r="E33" s="38" t="s">
        <v>56</v>
      </c>
      <c r="F33" s="46" cm="1">
        <f t="array" ref="F33">(301704)/((F29-(F29*D26%)))</f>
        <v>0.16363163032866906</v>
      </c>
      <c r="G33" s="24"/>
      <c r="H33" s="42">
        <v>230</v>
      </c>
      <c r="I33" s="41">
        <v>230</v>
      </c>
      <c r="J33" s="33" t="str" cm="1">
        <f t="array" ref="J33">H33&amp;I33</f>
        <v>230230</v>
      </c>
      <c r="K33" s="81">
        <v>0.77</v>
      </c>
      <c r="L33" s="56"/>
      <c r="M33" s="56"/>
      <c r="N33" s="10"/>
      <c r="O33" s="3"/>
      <c r="P33" s="3"/>
    </row>
    <row r="34" spans="1:16" ht="15" customHeight="1" x14ac:dyDescent="0.35">
      <c r="A34" s="37">
        <v>6</v>
      </c>
      <c r="B34" s="38" t="s">
        <v>26</v>
      </c>
      <c r="C34" s="38" t="s">
        <v>57</v>
      </c>
      <c r="D34" s="45" cm="1">
        <f t="array" ref="D34">((5365.63/2)*365)/((D29-(D29*D26%)))</f>
        <v>0.53109202462306104</v>
      </c>
      <c r="E34" s="38" t="s">
        <v>33</v>
      </c>
      <c r="F34" s="46" cm="1">
        <f t="array" ref="F34">((5580.26/2)*365)/((F29-(F29*D26%)))</f>
        <v>0.55233618071374335</v>
      </c>
      <c r="G34" s="24"/>
      <c r="H34" s="42">
        <v>230</v>
      </c>
      <c r="I34" s="41">
        <v>230</v>
      </c>
      <c r="J34" s="33" t="str" cm="1">
        <f t="array" ref="J34">H34&amp;I34</f>
        <v>230230</v>
      </c>
      <c r="K34" s="81">
        <v>0.77</v>
      </c>
      <c r="L34" s="29"/>
      <c r="M34" s="29"/>
      <c r="N34" s="10"/>
      <c r="O34" s="3"/>
      <c r="P34" s="3"/>
    </row>
    <row r="35" spans="1:16" ht="15" customHeight="1" x14ac:dyDescent="0.35">
      <c r="A35" s="37">
        <v>7</v>
      </c>
      <c r="B35" s="38" t="s">
        <v>37</v>
      </c>
      <c r="C35" s="38" t="s">
        <v>58</v>
      </c>
      <c r="D35" s="45" cm="1">
        <f t="array" ref="D35">1/2/100</f>
        <v>5.0000000000000001E-3</v>
      </c>
      <c r="E35" s="38" t="s">
        <v>38</v>
      </c>
      <c r="F35" s="46" cm="1">
        <f t="array" ref="F35">1.04/2/100</f>
        <v>5.1999999999999998E-3</v>
      </c>
      <c r="G35" s="10"/>
      <c r="H35" s="64"/>
      <c r="I35" s="64"/>
      <c r="J35" s="64"/>
      <c r="K35" s="64"/>
      <c r="L35" s="64"/>
      <c r="M35" s="64"/>
      <c r="N35" s="3"/>
      <c r="O35" s="3"/>
      <c r="P35" s="3"/>
    </row>
    <row r="36" spans="1:16" ht="15" customHeight="1" x14ac:dyDescent="0.35">
      <c r="A36" s="47"/>
      <c r="B36" s="31" t="s">
        <v>40</v>
      </c>
      <c r="C36" s="48"/>
      <c r="D36" s="49" cm="1">
        <f t="array" ref="D36">SUM(D31:D35)</f>
        <v>0.71006651133528587</v>
      </c>
      <c r="E36" s="48"/>
      <c r="F36" s="50" cm="1">
        <f t="array" ref="F36">SUM(F31:F35)</f>
        <v>0.75011560906822872</v>
      </c>
      <c r="G36" s="10"/>
      <c r="H36" s="3"/>
      <c r="I36" s="3"/>
      <c r="J36" s="3"/>
      <c r="K36" s="3"/>
      <c r="L36" s="3"/>
      <c r="M36" s="3"/>
      <c r="N36" s="3"/>
      <c r="O36" s="3"/>
      <c r="P36" s="3"/>
    </row>
    <row r="37" spans="1:16" ht="15" customHeight="1" x14ac:dyDescent="0.35">
      <c r="A37" s="37">
        <v>8</v>
      </c>
      <c r="B37" s="38" t="s">
        <v>41</v>
      </c>
      <c r="C37" s="52" t="str" cm="1">
        <f t="array" ref="C37">E22&amp;E23</f>
        <v>110KV33KV</v>
      </c>
      <c r="D37" s="45" cm="1">
        <f t="array" ref="D37">((D29*D26%)*D30)/((D29-(D29*D26%)))</f>
        <v>0.61419351339624684</v>
      </c>
      <c r="E37" s="52"/>
      <c r="F37" s="46" cm="1">
        <f t="array" ref="F37">((F29*D26%)*F30)/((F29-(F29*D26%)))</f>
        <v>0.635372600065083</v>
      </c>
      <c r="G37" s="10"/>
      <c r="H37" s="3"/>
      <c r="I37" s="3"/>
      <c r="J37" s="3"/>
      <c r="K37" s="3"/>
      <c r="L37" s="3"/>
      <c r="M37" s="3"/>
      <c r="N37" s="3"/>
      <c r="O37" s="3"/>
      <c r="P37" s="3"/>
    </row>
    <row r="38" spans="1:16" ht="15" customHeight="1" x14ac:dyDescent="0.35">
      <c r="A38" s="37">
        <v>9</v>
      </c>
      <c r="B38" s="38" t="s">
        <v>32</v>
      </c>
      <c r="C38" s="82"/>
      <c r="D38" s="83"/>
      <c r="E38" s="38" t="s">
        <v>59</v>
      </c>
      <c r="F38" s="46">
        <v>0.03</v>
      </c>
      <c r="G38" s="10"/>
      <c r="H38" s="3"/>
      <c r="I38" s="3"/>
      <c r="J38" s="3"/>
      <c r="K38" s="3"/>
      <c r="L38" s="3"/>
      <c r="M38" s="3"/>
      <c r="N38" s="3"/>
      <c r="O38" s="3"/>
      <c r="P38" s="3"/>
    </row>
    <row r="39" spans="1:16" ht="15" customHeight="1" x14ac:dyDescent="0.35">
      <c r="A39" s="47"/>
      <c r="B39" s="31" t="s">
        <v>44</v>
      </c>
      <c r="C39" s="48"/>
      <c r="D39" s="49" cm="1">
        <f t="array" ref="D39">D36+D37</f>
        <v>1.3242600247315326</v>
      </c>
      <c r="E39" s="48"/>
      <c r="F39" s="50" cm="1">
        <f t="array" ref="F39">F36+F37+F38</f>
        <v>1.4154882091333116</v>
      </c>
      <c r="G39" s="10"/>
      <c r="H39" s="3"/>
      <c r="I39" s="3"/>
      <c r="J39" s="3"/>
      <c r="K39" s="3"/>
      <c r="L39" s="3"/>
      <c r="M39" s="3"/>
      <c r="N39" s="3"/>
      <c r="O39" s="3"/>
      <c r="P39" s="3"/>
    </row>
    <row r="40" spans="1:16" ht="15" customHeight="1" x14ac:dyDescent="0.35">
      <c r="A40" s="37">
        <v>10</v>
      </c>
      <c r="B40" s="38" t="s">
        <v>45</v>
      </c>
      <c r="C40" s="38" t="s">
        <v>46</v>
      </c>
      <c r="D40" s="45" cm="1">
        <f t="array" ref="D40">((D29-(D29*D26%))*0.1)/((D29-(D29*D26%)))</f>
        <v>0.1</v>
      </c>
      <c r="E40" s="52"/>
      <c r="F40" s="46" cm="1">
        <f t="array" ref="F40">((F29-(F29*D26%))*0.1)/((F29-(F29*D26%)))</f>
        <v>0.1</v>
      </c>
      <c r="G40" s="10"/>
      <c r="H40" s="3"/>
      <c r="I40" s="3"/>
      <c r="J40" s="3"/>
      <c r="K40" s="3"/>
      <c r="L40" s="3"/>
      <c r="M40" s="3"/>
      <c r="N40" s="3"/>
      <c r="O40" s="3"/>
      <c r="P40" s="3"/>
    </row>
    <row r="41" spans="1:16" ht="15" customHeight="1" x14ac:dyDescent="0.35">
      <c r="A41" s="57"/>
      <c r="B41" s="58" t="s">
        <v>47</v>
      </c>
      <c r="C41" s="59"/>
      <c r="D41" s="60" cm="1">
        <f t="array" ref="D41">D39+D40</f>
        <v>1.4242600247315327</v>
      </c>
      <c r="E41" s="61"/>
      <c r="F41" s="62" cm="1">
        <f t="array" ref="F41">F39+F40</f>
        <v>1.5154882091333117</v>
      </c>
      <c r="G41" s="10"/>
      <c r="H41" s="3"/>
      <c r="I41" s="3"/>
      <c r="J41" s="3"/>
      <c r="K41" s="3"/>
      <c r="L41" s="84"/>
      <c r="M41" s="3"/>
      <c r="N41" s="3"/>
      <c r="O41" s="3"/>
      <c r="P41" s="3"/>
    </row>
    <row r="42" spans="1:16" ht="15" customHeight="1" x14ac:dyDescent="0.35">
      <c r="A42" s="64"/>
      <c r="B42" s="64"/>
      <c r="C42" s="64"/>
      <c r="D42" s="64"/>
      <c r="E42" s="64"/>
      <c r="F42" s="64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ht="15" customHeight="1" x14ac:dyDescent="0.35">
      <c r="A43" s="3"/>
      <c r="B43" s="3"/>
      <c r="C43" s="3"/>
      <c r="D43" s="3"/>
      <c r="E43" s="3"/>
      <c r="F43" s="3"/>
      <c r="G43" s="85"/>
      <c r="H43" s="3"/>
      <c r="I43" s="3"/>
      <c r="J43" s="3"/>
      <c r="K43" s="3"/>
      <c r="L43" s="3"/>
      <c r="M43" s="3"/>
      <c r="N43" s="3"/>
      <c r="O43" s="3"/>
      <c r="P43" s="3"/>
    </row>
  </sheetData>
  <mergeCells count="6">
    <mergeCell ref="A6:F6"/>
    <mergeCell ref="C7:D7"/>
    <mergeCell ref="E7:F7"/>
    <mergeCell ref="A27:F27"/>
    <mergeCell ref="C28:D28"/>
    <mergeCell ref="E28:F28"/>
  </mergeCells>
  <pageMargins left="0.96" right="0.70866099999999999" top="0.31" bottom="0.28000000000000003" header="0.24" footer="0.2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 charges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Kaviya R</cp:lastModifiedBy>
  <dcterms:modified xsi:type="dcterms:W3CDTF">2026-03-27T09:40:06Z</dcterms:modified>
</cp:coreProperties>
</file>